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" sheetId="1" state="visible" r:id="rId3"/>
    <sheet name="Regression Analysis" sheetId="2" state="visible" r:id="rId4"/>
    <sheet name="Questions &amp; Answer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<sst xmlns="http://schemas.openxmlformats.org/spreadsheetml/2006/main" count="81" uniqueCount="75">
  <si>
    <t xml:space="preserve">Depth at which drilling begins x (meters)</t>
  </si>
  <si>
    <t xml:space="preserve">Time to drill 5 meters y (minutes)</t>
  </si>
  <si>
    <t xml:space="preserve">Regression</t>
  </si>
  <si>
    <t xml:space="preserve">Regression Model</t>
  </si>
  <si>
    <t xml:space="preserve">Linear</t>
  </si>
  <si>
    <t xml:space="preserve">LINEST raw output</t>
  </si>
  <si>
    <t xml:space="preserve">Regression Statistics</t>
  </si>
  <si>
    <t xml:space="preserve">R^2</t>
  </si>
  <si>
    <t xml:space="preserve">Standard Error</t>
  </si>
  <si>
    <t xml:space="preserve">Count of X variables</t>
  </si>
  <si>
    <t xml:space="preserve">Observations</t>
  </si>
  <si>
    <t xml:space="preserve">Adjusted R^2</t>
  </si>
  <si>
    <t xml:space="preserve">Analysis of Variance (ANOVA)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</si>
  <si>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</si>
  <si>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</si>
  <si>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</si>
  <si>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</si>
  <si>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</si>
  <si>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Residual</t>
  </si>
  <si>
    <t xml:space="preserve">Total</t>
  </si>
  <si>
    <t xml:space="preserve">Confidence level</t>
  </si>
  <si>
    <t xml:space="preserve">Coefficients</t>
  </si>
  <si>
    <t xml:space="preserve">t-Statistic</t>
  </si>
  <si>
    <t xml:space="preserve">P-value</t>
  </si>
  <si>
    <t xml:space="preserve">Predicted Y</t>
  </si>
  <si>
    <t xml:space="preserve">a) Construct a scatterplot for the data.</t>
  </si>
  <si>
    <t xml:space="preserve">b) Find the least squares prediction equation using the calculation formulas.</t>
  </si>
  <si>
    <t xml:space="preserve">x</t>
  </si>
  <si>
    <t xml:space="preserve">y</t>
  </si>
  <si>
    <r>
      <rPr>
        <b val="true"/>
        <sz val="10"/>
        <rFont val="Arial"/>
        <family val="2"/>
      </rPr>
      <t xml:space="preserve">x</t>
    </r>
    <r>
      <rPr>
        <b val="true"/>
        <vertAlign val="superscript"/>
        <sz val="10"/>
        <rFont val="Arial"/>
        <family val="2"/>
      </rPr>
      <t xml:space="preserve">2</t>
    </r>
  </si>
  <si>
    <r>
      <rPr>
        <b val="true"/>
        <sz val="10"/>
        <rFont val="Arial"/>
        <family val="2"/>
      </rPr>
      <t xml:space="preserve">y</t>
    </r>
    <r>
      <rPr>
        <b val="true"/>
        <vertAlign val="superscript"/>
        <sz val="10"/>
        <rFont val="Arial"/>
        <family val="2"/>
      </rPr>
      <t xml:space="preserve">2</t>
    </r>
  </si>
  <si>
    <t xml:space="preserve">xy</t>
  </si>
  <si>
    <t xml:space="preserve">Number of data points</t>
  </si>
  <si>
    <t xml:space="preserve">n</t>
  </si>
  <si>
    <t xml:space="preserve">Means</t>
  </si>
  <si>
    <t xml:space="preserve">x_bar</t>
  </si>
  <si>
    <t xml:space="preserve">y_bar</t>
  </si>
  <si>
    <t xml:space="preserve">Sum of Squares</t>
  </si>
  <si>
    <r>
      <rPr>
        <sz val="10"/>
        <rFont val="Arial"/>
        <family val="2"/>
      </rPr>
      <t xml:space="preserve">Ss</t>
    </r>
    <r>
      <rPr>
        <vertAlign val="subscript"/>
        <sz val="10"/>
        <rFont val="Arial"/>
        <family val="2"/>
      </rPr>
      <t xml:space="preserve">xy</t>
    </r>
  </si>
  <si>
    <r>
      <rPr>
        <sz val="10"/>
        <rFont val="Arial"/>
        <family val="2"/>
      </rPr>
      <t xml:space="preserve">Ss</t>
    </r>
    <r>
      <rPr>
        <vertAlign val="subscript"/>
        <sz val="10"/>
        <rFont val="Arial"/>
        <family val="2"/>
      </rPr>
      <t xml:space="preserve">xx</t>
    </r>
  </si>
  <si>
    <r>
      <rPr>
        <sz val="10"/>
        <rFont val="Arial"/>
        <family val="2"/>
      </rPr>
      <t xml:space="preserve">Ss</t>
    </r>
    <r>
      <rPr>
        <vertAlign val="subscript"/>
        <sz val="10"/>
        <rFont val="Arial"/>
        <family val="2"/>
      </rPr>
      <t xml:space="preserve">yy</t>
    </r>
  </si>
  <si>
    <t xml:space="preserve">Least Squares Estimates</t>
  </si>
  <si>
    <t xml:space="preserve">Β1_hat</t>
  </si>
  <si>
    <t xml:space="preserve">Β0_hat</t>
  </si>
  <si>
    <t xml:space="preserve">c) Interpret the values of β 0 and β1 .</t>
  </si>
  <si>
    <t xml:space="preserve">- The value of B0_hat tells that the the expected value of y when x = 0 is 4.7896; that</t>
  </si>
  <si>
    <t xml:space="preserve">is, the average time it takes to drill 5 meters of rock when the depth is 0 meters is 4.7896 minutes.</t>
  </si>
  <si>
    <t xml:space="preserve">- The value of B1_hat tells two things: the relationship between the two variables is positive; that is,</t>
  </si>
  <si>
    <t xml:space="preserve">the time it takes to drill 5 meters of rock increases as the depth increases, and it increases by 0.0144</t>
  </si>
  <si>
    <t xml:space="preserve">minutes.</t>
  </si>
  <si>
    <t xml:space="preserve">d) Is there evidence that dry drill time y increases with depth x? Test using α = 0.10.</t>
  </si>
  <si>
    <t xml:space="preserve">y_hat</t>
  </si>
  <si>
    <t xml:space="preserve">y – y_hat</t>
  </si>
  <si>
    <r>
      <rPr>
        <b val="true"/>
        <sz val="10"/>
        <rFont val="Arial"/>
        <family val="2"/>
      </rPr>
      <t xml:space="preserve">(y – y_hat)</t>
    </r>
    <r>
      <rPr>
        <b val="true"/>
        <vertAlign val="superscript"/>
        <sz val="10"/>
        <rFont val="Arial"/>
        <family val="2"/>
      </rPr>
      <t xml:space="preserve">2</t>
    </r>
  </si>
  <si>
    <t xml:space="preserve">Hypothesis Testing:</t>
  </si>
  <si>
    <r>
      <rPr>
        <sz val="10"/>
        <rFont val="Arial"/>
        <family val="2"/>
      </rPr>
      <t xml:space="preserve">H</t>
    </r>
    <r>
      <rPr>
        <vertAlign val="subscript"/>
        <sz val="10"/>
        <rFont val="Arial"/>
        <family val="2"/>
      </rPr>
      <t xml:space="preserve">0</t>
    </r>
    <r>
      <rPr>
        <sz val="10"/>
        <rFont val="Arial"/>
        <family val="2"/>
      </rPr>
      <t xml:space="preserve"> : B1 = 0</t>
    </r>
  </si>
  <si>
    <r>
      <rPr>
        <sz val="10"/>
        <rFont val="Arial"/>
        <family val="2"/>
      </rPr>
      <t xml:space="preserve">H</t>
    </r>
    <r>
      <rPr>
        <vertAlign val="subscript"/>
        <sz val="10"/>
        <rFont val="Arial"/>
        <family val="2"/>
      </rPr>
      <t xml:space="preserve">a</t>
    </r>
    <r>
      <rPr>
        <sz val="10"/>
        <rFont val="Arial"/>
        <family val="2"/>
      </rPr>
      <t xml:space="preserve"> : B1 &gt; 0</t>
    </r>
  </si>
  <si>
    <t xml:space="preserve">Test Statistic</t>
  </si>
  <si>
    <t xml:space="preserve">SSE</t>
  </si>
  <si>
    <t xml:space="preserve">S</t>
  </si>
  <si>
    <t xml:space="preserve">t*</t>
  </si>
  <si>
    <t xml:space="preserve">Rejection Region</t>
  </si>
  <si>
    <r>
      <rPr>
        <sz val="10"/>
        <rFont val="Arial"/>
        <family val="2"/>
      </rPr>
      <t xml:space="preserve">t</t>
    </r>
    <r>
      <rPr>
        <vertAlign val="subscript"/>
        <sz val="10"/>
        <rFont val="Arial"/>
        <family val="2"/>
      </rPr>
      <t xml:space="preserve">15;0.10</t>
    </r>
  </si>
  <si>
    <t xml:space="preserve">Since 5.053 &gt; 1.341, we reject the null hypothesis.</t>
  </si>
  <si>
    <t xml:space="preserve">Conclusion:</t>
  </si>
  <si>
    <t xml:space="preserve">Therefore is sufficient evidence that dry drill time y increases with depth x.</t>
  </si>
  <si>
    <t xml:space="preserve">e) Calculate the coefficient of correlation r for the data. Interpret your result.</t>
  </si>
  <si>
    <t xml:space="preserve">r</t>
  </si>
  <si>
    <t xml:space="preserve">This means that a fair positive linear relationship exists between the depth at which the drilling</t>
  </si>
  <si>
    <t xml:space="preserve">begins and the time it takes to drill 5 meters.</t>
  </si>
  <si>
    <t xml:space="preserve">f) Calculate the coefficient of determination r2 for the data. Interpret your result.</t>
  </si>
  <si>
    <r>
      <rPr>
        <sz val="10"/>
        <rFont val="Arial"/>
        <family val="2"/>
      </rPr>
      <t xml:space="preserve">r</t>
    </r>
    <r>
      <rPr>
        <vertAlign val="superscript"/>
        <sz val="10"/>
        <rFont val="Arial"/>
        <family val="2"/>
      </rPr>
      <t xml:space="preserve">2</t>
    </r>
  </si>
  <si>
    <t xml:space="preserve">This means that about 63% of the sample variation in time to drill 5 meters can be “explained”</t>
  </si>
  <si>
    <t xml:space="preserve">by using depth at which drilling begins x to predict time to drill y with the least squares line/equation</t>
  </si>
  <si>
    <t xml:space="preserve">y_hat = 4.79 + 0.014 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</si>
</sst>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vertAlign val="superscript"/>
      <sz val="10"/>
      <name val="Arial"/>
      <family val="2"/>
    </font>
    <font>
      <vertAlign val="subscript"/>
      <sz val="10"/>
      <name val="Arial"/>
      <family val="2"/>
    </font>
    <font>
      <sz val="10"/>
      <name val="Arial"/>
      <family val="0"/>
      <charset val="1"/>
    </font>
    <font>
      <vertAlign val="superscript"/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81883773821661"/>
          <c:y val="0.0391496899911426"/>
          <c:w val="0.585209003215434"/>
          <c:h val="0.865810451727192"/>
        </c:manualLayout>
      </c:layout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Time to drill 5 meters y (minutes)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Data!$A$2:$A$18</c:f>
              <c:numCache>
                <c:formatCode>General</c:formatCode>
                <c:ptCount val="17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225</c:v>
                </c:pt>
                <c:pt idx="10">
                  <c:v>250</c:v>
                </c:pt>
                <c:pt idx="11">
                  <c:v>275</c:v>
                </c:pt>
                <c:pt idx="12">
                  <c:v>300</c:v>
                </c:pt>
                <c:pt idx="13">
                  <c:v>325</c:v>
                </c:pt>
                <c:pt idx="14">
                  <c:v>350</c:v>
                </c:pt>
                <c:pt idx="15">
                  <c:v>375</c:v>
                </c:pt>
                <c:pt idx="16">
                  <c:v>395</c:v>
                </c:pt>
              </c:numCache>
            </c:numRef>
          </c:xVal>
          <c:yVal>
            <c:numRef>
              <c:f>Data!$B$2:$B$18</c:f>
              <c:numCache>
                <c:formatCode>General</c:formatCode>
                <c:ptCount val="17"/>
                <c:pt idx="0">
                  <c:v>4.9</c:v>
                </c:pt>
                <c:pt idx="1">
                  <c:v>7.41</c:v>
                </c:pt>
                <c:pt idx="2">
                  <c:v>6.19</c:v>
                </c:pt>
                <c:pt idx="3">
                  <c:v>5.57</c:v>
                </c:pt>
                <c:pt idx="4">
                  <c:v>5.17</c:v>
                </c:pt>
                <c:pt idx="5">
                  <c:v>6.89</c:v>
                </c:pt>
                <c:pt idx="6">
                  <c:v>7.05</c:v>
                </c:pt>
                <c:pt idx="7">
                  <c:v>7.11</c:v>
                </c:pt>
                <c:pt idx="8">
                  <c:v>6.19</c:v>
                </c:pt>
                <c:pt idx="9">
                  <c:v>8.28</c:v>
                </c:pt>
                <c:pt idx="10">
                  <c:v>4.84</c:v>
                </c:pt>
                <c:pt idx="11">
                  <c:v>8.29</c:v>
                </c:pt>
                <c:pt idx="12">
                  <c:v>8.91</c:v>
                </c:pt>
                <c:pt idx="13">
                  <c:v>8.54</c:v>
                </c:pt>
                <c:pt idx="14">
                  <c:v>11.79</c:v>
                </c:pt>
                <c:pt idx="15">
                  <c:v>12.12</c:v>
                </c:pt>
                <c:pt idx="16">
                  <c:v>11.02</c:v>
                </c:pt>
              </c:numCache>
            </c:numRef>
          </c:yVal>
          <c:smooth val="0"/>
        </c:ser>
        <c:axId val="83518928"/>
        <c:axId val="58894959"/>
      </c:scatterChart>
      <c:valAx>
        <c:axId val="835189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Depth at which drilling begins (meters)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8894959"/>
        <c:crosses val="autoZero"/>
        <c:crossBetween val="between"/>
      </c:valAx>
      <c:valAx>
        <c:axId val="588949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Time to drill 5 meters (minutes)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351892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360</xdr:rowOff>
    </xdr:from>
    <xdr:to>
      <xdr:col>6</xdr:col>
      <xdr:colOff>465840</xdr:colOff>
      <xdr:row>25</xdr:row>
      <xdr:rowOff>109800</xdr:rowOff>
    </xdr:to>
    <xdr:graphicFrame>
      <xdr:nvGraphicFramePr>
        <xdr:cNvPr id="0" name=""/>
        <xdr:cNvGraphicFramePr/>
      </xdr:nvGraphicFramePr>
      <xdr:xfrm>
        <a:off x="812880" y="163080"/>
        <a:ext cx="4529880" cy="401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6.63"/>
    <col collapsed="false" customWidth="true" hidden="false" outlineLevel="0" max="2" min="2" style="0" width="30.23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0</v>
      </c>
      <c r="B2" s="2" t="n">
        <v>4.9</v>
      </c>
    </row>
    <row r="3" customFormat="false" ht="12.8" hidden="false" customHeight="false" outlineLevel="0" collapsed="false">
      <c r="A3" s="2" t="n">
        <v>25</v>
      </c>
      <c r="B3" s="2" t="n">
        <v>7.41</v>
      </c>
    </row>
    <row r="4" customFormat="false" ht="12.8" hidden="false" customHeight="false" outlineLevel="0" collapsed="false">
      <c r="A4" s="2" t="n">
        <v>50</v>
      </c>
      <c r="B4" s="2" t="n">
        <v>6.19</v>
      </c>
    </row>
    <row r="5" customFormat="false" ht="12.8" hidden="false" customHeight="false" outlineLevel="0" collapsed="false">
      <c r="A5" s="2" t="n">
        <v>75</v>
      </c>
      <c r="B5" s="2" t="n">
        <v>5.57</v>
      </c>
    </row>
    <row r="6" customFormat="false" ht="12.8" hidden="false" customHeight="false" outlineLevel="0" collapsed="false">
      <c r="A6" s="2" t="n">
        <v>100</v>
      </c>
      <c r="B6" s="2" t="n">
        <v>5.17</v>
      </c>
    </row>
    <row r="7" customFormat="false" ht="12.8" hidden="false" customHeight="false" outlineLevel="0" collapsed="false">
      <c r="A7" s="2" t="n">
        <v>125</v>
      </c>
      <c r="B7" s="2" t="n">
        <v>6.89</v>
      </c>
    </row>
    <row r="8" customFormat="false" ht="12.8" hidden="false" customHeight="false" outlineLevel="0" collapsed="false">
      <c r="A8" s="2" t="n">
        <v>150</v>
      </c>
      <c r="B8" s="2" t="n">
        <v>7.05</v>
      </c>
    </row>
    <row r="9" customFormat="false" ht="12.8" hidden="false" customHeight="false" outlineLevel="0" collapsed="false">
      <c r="A9" s="2" t="n">
        <v>175</v>
      </c>
      <c r="B9" s="2" t="n">
        <v>7.11</v>
      </c>
    </row>
    <row r="10" customFormat="false" ht="12.8" hidden="false" customHeight="false" outlineLevel="0" collapsed="false">
      <c r="A10" s="2" t="n">
        <v>200</v>
      </c>
      <c r="B10" s="2" t="n">
        <v>6.19</v>
      </c>
    </row>
    <row r="11" customFormat="false" ht="12.8" hidden="false" customHeight="false" outlineLevel="0" collapsed="false">
      <c r="A11" s="2" t="n">
        <v>225</v>
      </c>
      <c r="B11" s="2" t="n">
        <v>8.28</v>
      </c>
    </row>
    <row r="12" customFormat="false" ht="12.8" hidden="false" customHeight="false" outlineLevel="0" collapsed="false">
      <c r="A12" s="2" t="n">
        <v>250</v>
      </c>
      <c r="B12" s="2" t="n">
        <v>4.84</v>
      </c>
    </row>
    <row r="13" customFormat="false" ht="12.8" hidden="false" customHeight="false" outlineLevel="0" collapsed="false">
      <c r="A13" s="2" t="n">
        <v>275</v>
      </c>
      <c r="B13" s="2" t="n">
        <v>8.29</v>
      </c>
    </row>
    <row r="14" customFormat="false" ht="12.8" hidden="false" customHeight="false" outlineLevel="0" collapsed="false">
      <c r="A14" s="2" t="n">
        <v>300</v>
      </c>
      <c r="B14" s="2" t="n">
        <v>8.91</v>
      </c>
    </row>
    <row r="15" customFormat="false" ht="12.8" hidden="false" customHeight="false" outlineLevel="0" collapsed="false">
      <c r="A15" s="2" t="n">
        <v>325</v>
      </c>
      <c r="B15" s="2" t="n">
        <v>8.54</v>
      </c>
    </row>
    <row r="16" customFormat="false" ht="12.8" hidden="false" customHeight="false" outlineLevel="0" collapsed="false">
      <c r="A16" s="2" t="n">
        <v>350</v>
      </c>
      <c r="B16" s="2" t="n">
        <v>11.79</v>
      </c>
    </row>
    <row r="17" customFormat="false" ht="12.8" hidden="false" customHeight="false" outlineLevel="0" collapsed="false">
      <c r="A17" s="2" t="n">
        <v>375</v>
      </c>
      <c r="B17" s="2" t="n">
        <v>12.12</v>
      </c>
    </row>
    <row r="18" customFormat="false" ht="12.8" hidden="false" customHeight="false" outlineLevel="0" collapsed="false">
      <c r="A18" s="3" t="n">
        <v>395</v>
      </c>
      <c r="B18" s="3" t="n">
        <v>11.02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9" activeCellId="0" sqref="E29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33.85"/>
    <col collapsed="false" customWidth="true" hidden="false" outlineLevel="0" max="3" min="3" style="0" width="18.68"/>
    <col collapsed="false" customWidth="true" hidden="false" outlineLevel="0" max="4" min="4" style="0" width="28.28"/>
    <col collapsed="false" customWidth="true" hidden="false" outlineLevel="0" max="5" min="5" style="0" width="18.26"/>
    <col collapsed="false" customWidth="true" hidden="false" outlineLevel="0" max="7" min="6" style="0" width="20.63"/>
    <col collapsed="false" customWidth="true" hidden="false" outlineLevel="0" max="8" min="8" style="0" width="18.68"/>
  </cols>
  <sheetData>
    <row r="2" customFormat="false" ht="12.8" hidden="false" customHeight="false" outlineLevel="0" collapsed="false">
      <c r="B2" s="4" t="s">
        <v>2</v>
      </c>
    </row>
    <row r="3" customFormat="false" ht="12.8" hidden="false" customHeight="false" outlineLevel="0" collapsed="false">
      <c r="B3" s="0" t="s">
        <v>3</v>
      </c>
      <c r="C3" s="0" t="s">
        <v>4</v>
      </c>
    </row>
    <row r="5" customFormat="false" ht="12.8" hidden="false" customHeight="false" outlineLevel="0" collapsed="false">
      <c r="B5" s="0" t="s">
        <v>5</v>
      </c>
    </row>
    <row r="6" customFormat="false" ht="12.8" hidden="false" customHeight="false" outlineLevel="0" collapsed="false">
      <c r="B6" s="0" t="n">
        <f aca="false" t="array" ref="B6:C10">LINEST(Data!$B$2:$B$18 , Data!$A$2:$A$18 , 1 , 1)</f>
        <v>0.0143878504672897</v>
      </c>
      <c r="C6" s="0" t="n">
        <v>4.78960280373832</v>
      </c>
    </row>
    <row r="7" customFormat="false" ht="12.8" hidden="false" customHeight="false" outlineLevel="0" collapsed="false">
      <c r="B7" s="0" t="n">
        <v>0.00284722225275531</v>
      </c>
      <c r="C7" s="0" t="n">
        <v>0.666311915963959</v>
      </c>
    </row>
    <row r="8" customFormat="false" ht="12.8" hidden="false" customHeight="false" outlineLevel="0" collapsed="false">
      <c r="B8" s="0" t="n">
        <v>0.629956527955508</v>
      </c>
      <c r="C8" s="0" t="n">
        <v>1.43219391427966</v>
      </c>
    </row>
    <row r="9" customFormat="false" ht="12.8" hidden="false" customHeight="false" outlineLevel="0" collapsed="false">
      <c r="B9" s="0" t="n">
        <v>25.5357779104301</v>
      </c>
      <c r="C9" s="0" t="n">
        <v>15</v>
      </c>
    </row>
    <row r="10" customFormat="false" ht="12.8" hidden="false" customHeight="false" outlineLevel="0" collapsed="false">
      <c r="B10" s="0" t="n">
        <v>52.3784618196811</v>
      </c>
      <c r="C10" s="0" t="n">
        <v>30.7676911214953</v>
      </c>
    </row>
    <row r="12" customFormat="false" ht="12.8" hidden="false" customHeight="false" outlineLevel="0" collapsed="false">
      <c r="B12" s="0" t="s">
        <v>6</v>
      </c>
    </row>
    <row r="13" customFormat="false" ht="12.8" hidden="false" customHeight="false" outlineLevel="0" collapsed="false">
      <c r="B13" s="0" t="s">
        <v>7</v>
      </c>
      <c r="C13" s="0" t="n">
        <f aca="false">'Regression Analysis'!$B$8</f>
        <v>0.629956527955508</v>
      </c>
    </row>
    <row r="14" customFormat="false" ht="12.8" hidden="false" customHeight="false" outlineLevel="0" collapsed="false">
      <c r="B14" s="0" t="s">
        <v>8</v>
      </c>
      <c r="C14" s="0" t="n">
        <f aca="false">'Regression Analysis'!$C$8</f>
        <v>1.43219391427966</v>
      </c>
    </row>
    <row r="15" customFormat="false" ht="12.8" hidden="false" customHeight="false" outlineLevel="0" collapsed="false">
      <c r="B15" s="0" t="s">
        <v>9</v>
      </c>
      <c r="C15" s="0" t="n">
        <f aca="false">1</f>
        <v>1</v>
      </c>
    </row>
    <row r="16" customFormat="false" ht="12.8" hidden="false" customHeight="false" outlineLevel="0" collapsed="false">
      <c r="B16" s="0" t="s">
        <v>10</v>
      </c>
      <c r="C16" s="0" t="n">
        <f aca="false">17</f>
        <v>17</v>
      </c>
    </row>
    <row r="17" customFormat="false" ht="12.8" hidden="false" customHeight="false" outlineLevel="0" collapsed="false">
      <c r="B17" s="0" t="s">
        <v>11</v>
      </c>
      <c r="C17" s="0" t="n">
        <f aca="false">1 - (1 - 'Regression Analysis'!$B$8)*('Regression Analysis'!$C$16 - 1)/('Regression Analysis'!$C$16 - 'Regression Analysis'!$C$15 - 1)</f>
        <v>0.605286963152541</v>
      </c>
    </row>
    <row r="19" customFormat="false" ht="12.8" hidden="false" customHeight="false" outlineLevel="0" collapsed="false">
      <c r="B19" s="0" t="s">
        <v>12</v>
      </c>
    </row>
    <row r="20" customFormat="false" ht="12.8" hidden="false" customHeight="false" outlineLevel="0" collapsed="false">
      <c r="C20" s="0" t="s">
        <v>13</v>
      </c>
      <c r="D20" s="0" t="s">
        <v>14</v>
      </c>
      <c r="E20" s="0" t="s">
        <v>15</v>
      </c>
      <c r="F20" s="0" t="s">
        <v>16</v>
      </c>
      <c r="G20" s="0" t="s">
        <v>17</v>
      </c>
    </row>
    <row r="21" customFormat="false" ht="12.8" hidden="false" customHeight="false" outlineLevel="0" collapsed="false">
      <c r="B21" s="0" t="s">
        <v>2</v>
      </c>
      <c r="C21" s="0" t="n">
        <f aca="false">'Regression Analysis'!$C$15</f>
        <v>1</v>
      </c>
      <c r="D21" s="0" t="n">
        <f aca="false">'Regression Analysis'!$B$10</f>
        <v>52.3784618196811</v>
      </c>
      <c r="E21" s="0" t="n">
        <f aca="false">'Regression Analysis'!$B$10 / 'Regression Analysis'!$C$21</f>
        <v>52.3784618196811</v>
      </c>
      <c r="F21" s="0" t="n">
        <f aca="false">'Regression Analysis'!$B$9</f>
        <v>25.5357779104301</v>
      </c>
      <c r="G21" s="0" t="n">
        <f aca="false">FDIST('Regression Analysis'!$B$9 , 'Regression Analysis'!$C$21 , 'Regression Analysis'!$C$9)</f>
        <v>0.000142855855535484</v>
      </c>
    </row>
    <row r="22" customFormat="false" ht="12.8" hidden="false" customHeight="false" outlineLevel="0" collapsed="false">
      <c r="B22" s="0" t="s">
        <v>18</v>
      </c>
      <c r="C22" s="0" t="n">
        <f aca="false">'Regression Analysis'!$C$9</f>
        <v>15</v>
      </c>
      <c r="D22" s="0" t="n">
        <f aca="false">'Regression Analysis'!$C$10</f>
        <v>30.7676911214953</v>
      </c>
      <c r="E22" s="0" t="n">
        <f aca="false">'Regression Analysis'!$C$10 / 'Regression Analysis'!$C$9</f>
        <v>2.05117940809969</v>
      </c>
    </row>
    <row r="23" customFormat="false" ht="12.8" hidden="false" customHeight="false" outlineLevel="0" collapsed="false">
      <c r="B23" s="0" t="s">
        <v>19</v>
      </c>
      <c r="C23" s="0" t="n">
        <f aca="false">'Regression Analysis'!$C$21 + 'Regression Analysis'!$C$9</f>
        <v>16</v>
      </c>
      <c r="D23" s="0" t="n">
        <f aca="false">'Regression Analysis'!$B$10 + 'Regression Analysis'!$C$10</f>
        <v>83.1461529411764</v>
      </c>
    </row>
    <row r="25" customFormat="false" ht="12.8" hidden="false" customHeight="false" outlineLevel="0" collapsed="false">
      <c r="B25" s="0" t="s">
        <v>20</v>
      </c>
      <c r="C25" s="0" t="n">
        <v>0.95</v>
      </c>
    </row>
    <row r="27" customFormat="false" ht="12.8" hidden="false" customHeight="false" outlineLevel="0" collapsed="false">
      <c r="C27" s="0" t="s">
        <v>21</v>
      </c>
      <c r="D27" s="0" t="s">
        <v>8</v>
      </c>
      <c r="E27" s="0" t="s">
        <v>22</v>
      </c>
      <c r="F27" s="0" t="s">
        <v>23</v>
      </c>
      <c r="G27" s="0" t="str">
        <f aca="false">_xlfn.CONCAT("Lower " , INT('Regression Analysis'!$C$25 * 100) , "%")</f>
        <v>Lower 95%</v>
      </c>
      <c r="H27" s="0" t="str">
        <f aca="false">_xlfn.CONCAT("Upper " , INT('Regression Analysis'!$C$25 * 100) , "%")</f>
        <v>Upper 95%</v>
      </c>
    </row>
    <row r="28" customFormat="false" ht="12.8" hidden="false" customHeight="false" outlineLevel="0" collapsed="false">
      <c r="B28" s="0" t="str">
        <f aca="false">"Intercept"</f>
        <v>Intercept</v>
      </c>
      <c r="C28" s="0" t="n">
        <f aca="false" t="array" ref="C28:C29">INDEX('Regression Analysis'!$B$6:$C$6, 1 , ROW('Regression Analysis'!$C$29)+1 - ROW())</f>
        <v>4.78960280373832</v>
      </c>
      <c r="D28" s="0" t="n">
        <f aca="false" t="array" ref="D28:D29">INDEX('Regression Analysis'!$B$7:$C$7, 1 , ROW('Regression Analysis'!$D$29)+1 - ROW())</f>
        <v>0.666311915963959</v>
      </c>
      <c r="E28" s="0" t="n">
        <f aca="false" t="array" ref="E28:E29">'Regression Analysis'!$C$28:$C$29 / 'Regression Analysis'!$D$28:$D$29</f>
        <v>7.1882292496738</v>
      </c>
      <c r="F28" s="0" t="n">
        <f aca="false" t="array" ref="F28:F29">TDIST(ABS('Regression Analysis'!$E$28:$E$29) , 'Regression Analysis'!$C$9 , 2 )</f>
        <v>3.13346715514909E-006</v>
      </c>
      <c r="G28" s="0" t="n">
        <f aca="false" t="array" ref="G28:G29">'Regression Analysis'!$C$28:$C$29 - 'Regression Analysis'!$D$28:$D$29 * TINV(1 - 'Regression Analysis'!$C$25 , 'Regression Analysis'!$C$9)</f>
        <v>3.36939257325588</v>
      </c>
      <c r="H28" s="0" t="n">
        <f aca="false" t="array" ref="H28:H29">'Regression Analysis'!$C$28:$C$29 + 'Regression Analysis'!$D$28:$D$29 * TINV(1 - 'Regression Analysis'!$C$25 , 'Regression Analysis'!$C$9)</f>
        <v>6.20981303422076</v>
      </c>
    </row>
    <row r="29" customFormat="false" ht="12.8" hidden="false" customHeight="false" outlineLevel="0" collapsed="false">
      <c r="B29" s="0" t="str">
        <f aca="false">Data!$A$1</f>
        <v>Depth at which drilling begins x (meters)</v>
      </c>
      <c r="C29" s="0" t="n">
        <v>0.0143878504672897</v>
      </c>
      <c r="D29" s="0" t="n">
        <v>0.00284722225275531</v>
      </c>
      <c r="E29" s="0" t="n">
        <v>5.05329376846727</v>
      </c>
      <c r="F29" s="0" t="n">
        <v>0.000142855855535484</v>
      </c>
      <c r="G29" s="0" t="n">
        <v>0.00831913989054675</v>
      </c>
      <c r="H29" s="0" t="n">
        <v>0.0204565610440327</v>
      </c>
    </row>
    <row r="31" customFormat="false" ht="12.8" hidden="false" customHeight="false" outlineLevel="0" collapsed="false">
      <c r="B31" s="0" t="str">
        <f aca="false">Data!$A$1</f>
        <v>Depth at which drilling begins x (meters)</v>
      </c>
      <c r="C31" s="0" t="s">
        <v>24</v>
      </c>
      <c r="D31" s="0" t="str">
        <f aca="false">Data!$B$1</f>
        <v>Time to drill 5 meters y (minutes)</v>
      </c>
      <c r="E31" s="0" t="s">
        <v>18</v>
      </c>
    </row>
    <row r="32" customFormat="false" ht="12.8" hidden="false" customHeight="false" outlineLevel="0" collapsed="false">
      <c r="B32" s="0" t="n">
        <f aca="false" t="array" ref="B32:B48">Data!$A$2:$A$18</f>
        <v>0</v>
      </c>
      <c r="C32" s="0" t="n">
        <f aca="false" t="array" ref="C32:C48">MMULT('Regression Analysis'!$B$32:$B$48 , 'Regression Analysis'!$C$29) + 'Regression Analysis'!$C$28</f>
        <v>4.78960280373832</v>
      </c>
      <c r="D32" s="0" t="n">
        <f aca="false" t="array" ref="D32:D48">Data!$B$2:$B$18</f>
        <v>4.9</v>
      </c>
      <c r="E32" s="0" t="n">
        <f aca="false" t="array" ref="E32:E48">'Regression Analysis'!$D$32:$D$48 - 'Regression Analysis'!$C$32:$C$48</f>
        <v>0.110397196261681</v>
      </c>
    </row>
    <row r="33" customFormat="false" ht="12.8" hidden="false" customHeight="false" outlineLevel="0" collapsed="false">
      <c r="B33" s="0" t="n">
        <v>25</v>
      </c>
      <c r="C33" s="0" t="n">
        <v>5.14929906542056</v>
      </c>
      <c r="D33" s="0" t="n">
        <v>7.41</v>
      </c>
      <c r="E33" s="0" t="n">
        <v>2.26070093457944</v>
      </c>
    </row>
    <row r="34" customFormat="false" ht="12.8" hidden="false" customHeight="false" outlineLevel="0" collapsed="false">
      <c r="B34" s="0" t="n">
        <v>50</v>
      </c>
      <c r="C34" s="0" t="n">
        <v>5.50899532710281</v>
      </c>
      <c r="D34" s="0" t="n">
        <v>6.19</v>
      </c>
      <c r="E34" s="0" t="n">
        <v>0.681004672897196</v>
      </c>
    </row>
    <row r="35" customFormat="false" ht="12.8" hidden="false" customHeight="false" outlineLevel="0" collapsed="false">
      <c r="B35" s="0" t="n">
        <v>75</v>
      </c>
      <c r="C35" s="0" t="n">
        <v>5.86869158878505</v>
      </c>
      <c r="D35" s="0" t="n">
        <v>5.57</v>
      </c>
      <c r="E35" s="0" t="n">
        <v>-0.298691588785047</v>
      </c>
    </row>
    <row r="36" customFormat="false" ht="12.8" hidden="false" customHeight="false" outlineLevel="0" collapsed="false">
      <c r="B36" s="0" t="n">
        <v>100</v>
      </c>
      <c r="C36" s="0" t="n">
        <v>6.22838785046729</v>
      </c>
      <c r="D36" s="0" t="n">
        <v>5.17</v>
      </c>
      <c r="E36" s="0" t="n">
        <v>-1.05838785046729</v>
      </c>
    </row>
    <row r="37" customFormat="false" ht="12.8" hidden="false" customHeight="false" outlineLevel="0" collapsed="false">
      <c r="B37" s="0" t="n">
        <v>125</v>
      </c>
      <c r="C37" s="0" t="n">
        <v>6.58808411214953</v>
      </c>
      <c r="D37" s="0" t="n">
        <v>6.89</v>
      </c>
      <c r="E37" s="0" t="n">
        <v>0.301915887850466</v>
      </c>
    </row>
    <row r="38" customFormat="false" ht="12.8" hidden="false" customHeight="false" outlineLevel="0" collapsed="false">
      <c r="B38" s="0" t="n">
        <v>150</v>
      </c>
      <c r="C38" s="0" t="n">
        <v>6.94778037383178</v>
      </c>
      <c r="D38" s="0" t="n">
        <v>7.05</v>
      </c>
      <c r="E38" s="0" t="n">
        <v>0.102219626168224</v>
      </c>
    </row>
    <row r="39" customFormat="false" ht="12.8" hidden="false" customHeight="false" outlineLevel="0" collapsed="false">
      <c r="B39" s="0" t="n">
        <v>175</v>
      </c>
      <c r="C39" s="0" t="n">
        <v>7.30747663551402</v>
      </c>
      <c r="D39" s="0" t="n">
        <v>7.11</v>
      </c>
      <c r="E39" s="0" t="n">
        <v>-0.197476635514019</v>
      </c>
    </row>
    <row r="40" customFormat="false" ht="12.8" hidden="false" customHeight="false" outlineLevel="0" collapsed="false">
      <c r="B40" s="0" t="n">
        <v>200</v>
      </c>
      <c r="C40" s="0" t="n">
        <v>7.66717289719626</v>
      </c>
      <c r="D40" s="0" t="n">
        <v>6.19</v>
      </c>
      <c r="E40" s="0" t="n">
        <v>-1.47717289719626</v>
      </c>
    </row>
    <row r="41" customFormat="false" ht="12.8" hidden="false" customHeight="false" outlineLevel="0" collapsed="false">
      <c r="B41" s="0" t="n">
        <v>225</v>
      </c>
      <c r="C41" s="0" t="n">
        <v>8.02686915887851</v>
      </c>
      <c r="D41" s="0" t="n">
        <v>8.28</v>
      </c>
      <c r="E41" s="0" t="n">
        <v>0.253130841121495</v>
      </c>
    </row>
    <row r="42" customFormat="false" ht="12.8" hidden="false" customHeight="false" outlineLevel="0" collapsed="false">
      <c r="B42" s="0" t="n">
        <v>250</v>
      </c>
      <c r="C42" s="0" t="n">
        <v>8.38656542056075</v>
      </c>
      <c r="D42" s="0" t="n">
        <v>4.84</v>
      </c>
      <c r="E42" s="0" t="n">
        <v>-3.54656542056075</v>
      </c>
    </row>
    <row r="43" customFormat="false" ht="12.8" hidden="false" customHeight="false" outlineLevel="0" collapsed="false">
      <c r="B43" s="0" t="n">
        <v>275</v>
      </c>
      <c r="C43" s="0" t="n">
        <v>8.74626168224299</v>
      </c>
      <c r="D43" s="0" t="n">
        <v>8.29</v>
      </c>
      <c r="E43" s="0" t="n">
        <v>-0.456261682242992</v>
      </c>
    </row>
    <row r="44" customFormat="false" ht="12.8" hidden="false" customHeight="false" outlineLevel="0" collapsed="false">
      <c r="B44" s="0" t="n">
        <v>300</v>
      </c>
      <c r="C44" s="0" t="n">
        <v>9.10595794392523</v>
      </c>
      <c r="D44" s="0" t="n">
        <v>8.91</v>
      </c>
      <c r="E44" s="0" t="n">
        <v>-0.195957943925233</v>
      </c>
    </row>
    <row r="45" customFormat="false" ht="12.8" hidden="false" customHeight="false" outlineLevel="0" collapsed="false">
      <c r="B45" s="0" t="n">
        <v>325</v>
      </c>
      <c r="C45" s="0" t="n">
        <v>9.46565420560748</v>
      </c>
      <c r="D45" s="0" t="n">
        <v>8.54</v>
      </c>
      <c r="E45" s="0" t="n">
        <v>-0.925654205607478</v>
      </c>
    </row>
    <row r="46" customFormat="false" ht="12.8" hidden="false" customHeight="false" outlineLevel="0" collapsed="false">
      <c r="B46" s="0" t="n">
        <v>350</v>
      </c>
      <c r="C46" s="0" t="n">
        <v>9.82535046728972</v>
      </c>
      <c r="D46" s="0" t="n">
        <v>11.79</v>
      </c>
      <c r="E46" s="0" t="n">
        <v>1.96464953271028</v>
      </c>
    </row>
    <row r="47" customFormat="false" ht="12.8" hidden="false" customHeight="false" outlineLevel="0" collapsed="false">
      <c r="B47" s="0" t="n">
        <v>375</v>
      </c>
      <c r="C47" s="0" t="n">
        <v>10.185046728972</v>
      </c>
      <c r="D47" s="0" t="n">
        <v>12.12</v>
      </c>
      <c r="E47" s="0" t="n">
        <v>1.93495327102804</v>
      </c>
    </row>
    <row r="48" customFormat="false" ht="12.8" hidden="false" customHeight="false" outlineLevel="0" collapsed="false">
      <c r="B48" s="0" t="n">
        <v>395</v>
      </c>
      <c r="C48" s="0" t="n">
        <v>10.4728037383178</v>
      </c>
      <c r="D48" s="0" t="n">
        <v>11.02</v>
      </c>
      <c r="E48" s="0" t="n">
        <v>0.547196261682242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88" colorId="64" zoomScale="100" zoomScaleNormal="100" zoomScalePageLayoutView="100" workbookViewId="0">
      <selection pane="topLeft" activeCell="A103" activeCellId="0" sqref="A10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25</v>
      </c>
    </row>
    <row r="28" customFormat="false" ht="12.8" hidden="false" customHeight="false" outlineLevel="0" collapsed="false">
      <c r="A28" s="0" t="s">
        <v>26</v>
      </c>
    </row>
    <row r="29" customFormat="false" ht="12.8" hidden="false" customHeight="false" outlineLevel="0" collapsed="false">
      <c r="B29" s="5" t="s">
        <v>27</v>
      </c>
      <c r="C29" s="6" t="s">
        <v>28</v>
      </c>
      <c r="D29" s="6" t="s">
        <v>29</v>
      </c>
      <c r="E29" s="6" t="s">
        <v>30</v>
      </c>
      <c r="F29" s="7" t="s">
        <v>31</v>
      </c>
      <c r="I29" s="8" t="s">
        <v>32</v>
      </c>
      <c r="J29" s="8"/>
    </row>
    <row r="30" customFormat="false" ht="12.8" hidden="false" customHeight="false" outlineLevel="0" collapsed="false">
      <c r="B30" s="9" t="n">
        <v>0</v>
      </c>
      <c r="C30" s="10" t="n">
        <v>4.9</v>
      </c>
      <c r="D30" s="10" t="n">
        <f aca="false">B30^2</f>
        <v>0</v>
      </c>
      <c r="E30" s="10" t="n">
        <f aca="false">C30^2</f>
        <v>24.01</v>
      </c>
      <c r="F30" s="11" t="n">
        <f aca="false">B30*C30</f>
        <v>0</v>
      </c>
      <c r="I30" s="0" t="s">
        <v>33</v>
      </c>
      <c r="J30" s="0" t="n">
        <f aca="false">COUNT(B30:B46)</f>
        <v>17</v>
      </c>
    </row>
    <row r="31" customFormat="false" ht="12.8" hidden="false" customHeight="false" outlineLevel="0" collapsed="false">
      <c r="B31" s="12" t="n">
        <v>25</v>
      </c>
      <c r="C31" s="13" t="n">
        <v>7.41</v>
      </c>
      <c r="D31" s="0" t="n">
        <f aca="false">B31^2</f>
        <v>625</v>
      </c>
      <c r="E31" s="0" t="n">
        <f aca="false">C31^2</f>
        <v>54.9081</v>
      </c>
      <c r="F31" s="14" t="n">
        <f aca="false">B31*C31</f>
        <v>185.25</v>
      </c>
    </row>
    <row r="32" customFormat="false" ht="12.8" hidden="false" customHeight="false" outlineLevel="0" collapsed="false">
      <c r="B32" s="12" t="n">
        <v>50</v>
      </c>
      <c r="C32" s="13" t="n">
        <v>6.19</v>
      </c>
      <c r="D32" s="0" t="n">
        <f aca="false">B32^2</f>
        <v>2500</v>
      </c>
      <c r="E32" s="0" t="n">
        <f aca="false">C32^2</f>
        <v>38.3161</v>
      </c>
      <c r="F32" s="14" t="n">
        <f aca="false">B32*C32</f>
        <v>309.5</v>
      </c>
    </row>
    <row r="33" customFormat="false" ht="12.8" hidden="false" customHeight="false" outlineLevel="0" collapsed="false">
      <c r="B33" s="12" t="n">
        <v>75</v>
      </c>
      <c r="C33" s="13" t="n">
        <v>5.57</v>
      </c>
      <c r="D33" s="0" t="n">
        <f aca="false">B33^2</f>
        <v>5625</v>
      </c>
      <c r="E33" s="0" t="n">
        <f aca="false">C33^2</f>
        <v>31.0249</v>
      </c>
      <c r="F33" s="14" t="n">
        <f aca="false">B33*C33</f>
        <v>417.75</v>
      </c>
      <c r="I33" s="8" t="s">
        <v>34</v>
      </c>
      <c r="J33" s="8"/>
    </row>
    <row r="34" customFormat="false" ht="12.8" hidden="false" customHeight="false" outlineLevel="0" collapsed="false">
      <c r="B34" s="12" t="n">
        <v>100</v>
      </c>
      <c r="C34" s="13" t="n">
        <v>5.17</v>
      </c>
      <c r="D34" s="0" t="n">
        <f aca="false">B34^2</f>
        <v>10000</v>
      </c>
      <c r="E34" s="0" t="n">
        <f aca="false">C34^2</f>
        <v>26.7289</v>
      </c>
      <c r="F34" s="14" t="n">
        <f aca="false">B34*C34</f>
        <v>517</v>
      </c>
      <c r="I34" s="0" t="s">
        <v>35</v>
      </c>
      <c r="J34" s="0" t="n">
        <f aca="false">AVERAGE(B30:B46)</f>
        <v>199.705882352941</v>
      </c>
    </row>
    <row r="35" customFormat="false" ht="12.8" hidden="false" customHeight="false" outlineLevel="0" collapsed="false">
      <c r="B35" s="12" t="n">
        <v>125</v>
      </c>
      <c r="C35" s="13" t="n">
        <v>6.89</v>
      </c>
      <c r="D35" s="0" t="n">
        <f aca="false">B35^2</f>
        <v>15625</v>
      </c>
      <c r="E35" s="0" t="n">
        <f aca="false">C35^2</f>
        <v>47.4721</v>
      </c>
      <c r="F35" s="14" t="n">
        <f aca="false">B35*C35</f>
        <v>861.25</v>
      </c>
      <c r="I35" s="0" t="s">
        <v>36</v>
      </c>
      <c r="J35" s="0" t="n">
        <f aca="false">AVERAGE(C30:C46)</f>
        <v>7.66294117647059</v>
      </c>
    </row>
    <row r="36" customFormat="false" ht="12.8" hidden="false" customHeight="false" outlineLevel="0" collapsed="false">
      <c r="B36" s="12" t="n">
        <v>150</v>
      </c>
      <c r="C36" s="13" t="n">
        <v>7.05</v>
      </c>
      <c r="D36" s="0" t="n">
        <f aca="false">B36^2</f>
        <v>22500</v>
      </c>
      <c r="E36" s="0" t="n">
        <f aca="false">C36^2</f>
        <v>49.7025</v>
      </c>
      <c r="F36" s="14" t="n">
        <f aca="false">B36*C36</f>
        <v>1057.5</v>
      </c>
    </row>
    <row r="37" customFormat="false" ht="12.8" hidden="false" customHeight="false" outlineLevel="0" collapsed="false">
      <c r="B37" s="12" t="n">
        <v>175</v>
      </c>
      <c r="C37" s="13" t="n">
        <v>7.11</v>
      </c>
      <c r="D37" s="0" t="n">
        <f aca="false">B37^2</f>
        <v>30625</v>
      </c>
      <c r="E37" s="0" t="n">
        <f aca="false">C37^2</f>
        <v>50.5521</v>
      </c>
      <c r="F37" s="14" t="n">
        <f aca="false">B37*C37</f>
        <v>1244.25</v>
      </c>
    </row>
    <row r="38" customFormat="false" ht="12.8" hidden="false" customHeight="false" outlineLevel="0" collapsed="false">
      <c r="B38" s="12" t="n">
        <v>200</v>
      </c>
      <c r="C38" s="13" t="n">
        <v>6.19</v>
      </c>
      <c r="D38" s="0" t="n">
        <f aca="false">B38^2</f>
        <v>40000</v>
      </c>
      <c r="E38" s="0" t="n">
        <f aca="false">C38^2</f>
        <v>38.3161</v>
      </c>
      <c r="F38" s="14" t="n">
        <f aca="false">B38*C38</f>
        <v>1238</v>
      </c>
      <c r="I38" s="8" t="s">
        <v>37</v>
      </c>
      <c r="J38" s="8"/>
    </row>
    <row r="39" customFormat="false" ht="12.8" hidden="false" customHeight="false" outlineLevel="0" collapsed="false">
      <c r="B39" s="12" t="n">
        <v>225</v>
      </c>
      <c r="C39" s="13" t="n">
        <v>8.28</v>
      </c>
      <c r="D39" s="0" t="n">
        <f aca="false">B39^2</f>
        <v>50625</v>
      </c>
      <c r="E39" s="0" t="n">
        <f aca="false">C39^2</f>
        <v>68.5584</v>
      </c>
      <c r="F39" s="14" t="n">
        <f aca="false">B39*C39</f>
        <v>1863</v>
      </c>
      <c r="I39" s="0" t="s">
        <v>38</v>
      </c>
      <c r="J39" s="0" t="n">
        <f aca="false">F47-J30*J34*J35</f>
        <v>3640.46470588235</v>
      </c>
    </row>
    <row r="40" customFormat="false" ht="12.8" hidden="false" customHeight="false" outlineLevel="0" collapsed="false">
      <c r="B40" s="12" t="n">
        <v>250</v>
      </c>
      <c r="C40" s="13" t="n">
        <v>4.84</v>
      </c>
      <c r="D40" s="0" t="n">
        <f aca="false">B40^2</f>
        <v>62500</v>
      </c>
      <c r="E40" s="0" t="n">
        <f aca="false">C40^2</f>
        <v>23.4256</v>
      </c>
      <c r="F40" s="14" t="n">
        <f aca="false">B40*C40</f>
        <v>1210</v>
      </c>
      <c r="I40" s="0" t="s">
        <v>39</v>
      </c>
      <c r="J40" s="0" t="n">
        <f aca="false">D47-J30*J34^2</f>
        <v>253023.529411765</v>
      </c>
    </row>
    <row r="41" customFormat="false" ht="12.8" hidden="false" customHeight="false" outlineLevel="0" collapsed="false">
      <c r="B41" s="12" t="n">
        <v>275</v>
      </c>
      <c r="C41" s="13" t="n">
        <v>8.29</v>
      </c>
      <c r="D41" s="0" t="n">
        <f aca="false">B41^2</f>
        <v>75625</v>
      </c>
      <c r="E41" s="0" t="n">
        <f aca="false">C41^2</f>
        <v>68.7241</v>
      </c>
      <c r="F41" s="14" t="n">
        <f aca="false">B41*C41</f>
        <v>2279.75</v>
      </c>
      <c r="I41" s="0" t="s">
        <v>40</v>
      </c>
      <c r="J41" s="0" t="n">
        <f aca="false">E47-J30*J35^2</f>
        <v>83.1461529411762</v>
      </c>
    </row>
    <row r="42" customFormat="false" ht="12.8" hidden="false" customHeight="false" outlineLevel="0" collapsed="false">
      <c r="B42" s="12" t="n">
        <v>300</v>
      </c>
      <c r="C42" s="13" t="n">
        <v>8.91</v>
      </c>
      <c r="D42" s="0" t="n">
        <f aca="false">B42^2</f>
        <v>90000</v>
      </c>
      <c r="E42" s="0" t="n">
        <f aca="false">C42^2</f>
        <v>79.3881</v>
      </c>
      <c r="F42" s="14" t="n">
        <f aca="false">B42*C42</f>
        <v>2673</v>
      </c>
    </row>
    <row r="43" customFormat="false" ht="12.8" hidden="false" customHeight="false" outlineLevel="0" collapsed="false">
      <c r="B43" s="12" t="n">
        <v>325</v>
      </c>
      <c r="C43" s="13" t="n">
        <v>8.54</v>
      </c>
      <c r="D43" s="0" t="n">
        <f aca="false">B43^2</f>
        <v>105625</v>
      </c>
      <c r="E43" s="0" t="n">
        <f aca="false">C43^2</f>
        <v>72.9316</v>
      </c>
      <c r="F43" s="14" t="n">
        <f aca="false">B43*C43</f>
        <v>2775.5</v>
      </c>
    </row>
    <row r="44" customFormat="false" ht="12.8" hidden="false" customHeight="false" outlineLevel="0" collapsed="false">
      <c r="B44" s="12" t="n">
        <v>350</v>
      </c>
      <c r="C44" s="13" t="n">
        <v>11.79</v>
      </c>
      <c r="D44" s="0" t="n">
        <f aca="false">B44^2</f>
        <v>122500</v>
      </c>
      <c r="E44" s="0" t="n">
        <f aca="false">C44^2</f>
        <v>139.0041</v>
      </c>
      <c r="F44" s="14" t="n">
        <f aca="false">B44*C44</f>
        <v>4126.5</v>
      </c>
      <c r="I44" s="8" t="s">
        <v>41</v>
      </c>
      <c r="J44" s="8"/>
    </row>
    <row r="45" customFormat="false" ht="12.8" hidden="false" customHeight="false" outlineLevel="0" collapsed="false">
      <c r="B45" s="12" t="n">
        <v>375</v>
      </c>
      <c r="C45" s="13" t="n">
        <v>12.12</v>
      </c>
      <c r="D45" s="0" t="n">
        <f aca="false">B45^2</f>
        <v>140625</v>
      </c>
      <c r="E45" s="0" t="n">
        <f aca="false">C45^2</f>
        <v>146.8944</v>
      </c>
      <c r="F45" s="14" t="n">
        <f aca="false">B45*C45</f>
        <v>4545</v>
      </c>
      <c r="I45" s="15" t="s">
        <v>42</v>
      </c>
      <c r="J45" s="0" t="n">
        <f aca="false">J39/J40</f>
        <v>0.0143878504672897</v>
      </c>
    </row>
    <row r="46" customFormat="false" ht="12.8" hidden="false" customHeight="false" outlineLevel="0" collapsed="false">
      <c r="B46" s="16" t="n">
        <v>395</v>
      </c>
      <c r="C46" s="17" t="n">
        <v>11.02</v>
      </c>
      <c r="D46" s="17" t="n">
        <f aca="false">B46^2</f>
        <v>156025</v>
      </c>
      <c r="E46" s="17" t="n">
        <f aca="false">C46^2</f>
        <v>121.4404</v>
      </c>
      <c r="F46" s="18" t="n">
        <f aca="false">B46*C46</f>
        <v>4352.9</v>
      </c>
      <c r="I46" s="15" t="s">
        <v>43</v>
      </c>
      <c r="J46" s="0" t="n">
        <f aca="false">J35-J45*J34</f>
        <v>4.78960280373832</v>
      </c>
    </row>
    <row r="47" customFormat="false" ht="12.8" hidden="false" customHeight="false" outlineLevel="0" collapsed="false">
      <c r="B47" s="19" t="n">
        <f aca="false">SUM(B30:B46)</f>
        <v>3395</v>
      </c>
      <c r="C47" s="20" t="n">
        <f aca="false">SUM(C30:C46)</f>
        <v>130.27</v>
      </c>
      <c r="D47" s="20" t="n">
        <f aca="false">SUM(D30:D46)</f>
        <v>931025</v>
      </c>
      <c r="E47" s="20" t="n">
        <f aca="false">SUM(E30:E46)</f>
        <v>1081.3975</v>
      </c>
      <c r="F47" s="21" t="n">
        <f aca="false">SUM(F30:F46)</f>
        <v>29656.15</v>
      </c>
    </row>
    <row r="49" customFormat="false" ht="12.8" hidden="false" customHeight="false" outlineLevel="0" collapsed="false">
      <c r="A49" s="0" t="s">
        <v>44</v>
      </c>
    </row>
    <row r="50" customFormat="false" ht="12.8" hidden="false" customHeight="false" outlineLevel="0" collapsed="false">
      <c r="B50" s="0" t="s">
        <v>45</v>
      </c>
    </row>
    <row r="51" customFormat="false" ht="12.8" hidden="false" customHeight="false" outlineLevel="0" collapsed="false">
      <c r="B51" s="0" t="s">
        <v>46</v>
      </c>
    </row>
    <row r="52" customFormat="false" ht="12.8" hidden="false" customHeight="false" outlineLevel="0" collapsed="false">
      <c r="B52" s="0" t="s">
        <v>47</v>
      </c>
    </row>
    <row r="53" customFormat="false" ht="12.8" hidden="false" customHeight="false" outlineLevel="0" collapsed="false">
      <c r="B53" s="0" t="s">
        <v>48</v>
      </c>
    </row>
    <row r="54" customFormat="false" ht="12.8" hidden="false" customHeight="false" outlineLevel="0" collapsed="false">
      <c r="B54" s="0" t="s">
        <v>49</v>
      </c>
    </row>
    <row r="56" customFormat="false" ht="12.8" hidden="false" customHeight="false" outlineLevel="0" collapsed="false">
      <c r="A56" s="0" t="s">
        <v>50</v>
      </c>
    </row>
    <row r="57" customFormat="false" ht="12.8" hidden="false" customHeight="false" outlineLevel="0" collapsed="false">
      <c r="B57" s="5" t="s">
        <v>27</v>
      </c>
      <c r="C57" s="6" t="s">
        <v>28</v>
      </c>
      <c r="D57" s="6" t="s">
        <v>51</v>
      </c>
      <c r="E57" s="6" t="s">
        <v>52</v>
      </c>
      <c r="F57" s="7" t="s">
        <v>53</v>
      </c>
    </row>
    <row r="58" customFormat="false" ht="12.8" hidden="false" customHeight="false" outlineLevel="0" collapsed="false">
      <c r="B58" s="12" t="n">
        <v>0</v>
      </c>
      <c r="C58" s="13" t="n">
        <v>4.9</v>
      </c>
      <c r="D58" s="0" t="n">
        <f aca="false">$J$46+$J$45*B58</f>
        <v>4.78960280373832</v>
      </c>
      <c r="E58" s="0" t="n">
        <f aca="false">C58-D58</f>
        <v>0.11039719626168</v>
      </c>
      <c r="F58" s="14" t="n">
        <f aca="false">E58^2</f>
        <v>0.0121875409424398</v>
      </c>
    </row>
    <row r="59" customFormat="false" ht="12.8" hidden="false" customHeight="false" outlineLevel="0" collapsed="false">
      <c r="B59" s="12" t="n">
        <v>25</v>
      </c>
      <c r="C59" s="13" t="n">
        <v>7.41</v>
      </c>
      <c r="D59" s="0" t="n">
        <f aca="false">$J$46+$J$45*B59</f>
        <v>5.14929906542056</v>
      </c>
      <c r="E59" s="0" t="n">
        <f aca="false">C59-D59</f>
        <v>2.26070093457944</v>
      </c>
      <c r="F59" s="14" t="n">
        <f aca="false">E59^2</f>
        <v>5.11076871560834</v>
      </c>
    </row>
    <row r="60" customFormat="false" ht="12.8" hidden="false" customHeight="false" outlineLevel="0" collapsed="false">
      <c r="B60" s="12" t="n">
        <v>50</v>
      </c>
      <c r="C60" s="13" t="n">
        <v>6.19</v>
      </c>
      <c r="D60" s="0" t="n">
        <f aca="false">$J$46+$J$45*B60</f>
        <v>5.50899532710281</v>
      </c>
      <c r="E60" s="0" t="n">
        <f aca="false">C60-D60</f>
        <v>0.681004672897195</v>
      </c>
      <c r="F60" s="14" t="n">
        <f aca="false">E60^2</f>
        <v>0.463767364507815</v>
      </c>
    </row>
    <row r="61" customFormat="false" ht="12.8" hidden="false" customHeight="false" outlineLevel="0" collapsed="false">
      <c r="B61" s="12" t="n">
        <v>75</v>
      </c>
      <c r="C61" s="13" t="n">
        <v>5.57</v>
      </c>
      <c r="D61" s="0" t="n">
        <f aca="false">$J$46+$J$45*B61</f>
        <v>5.86869158878505</v>
      </c>
      <c r="E61" s="0" t="n">
        <f aca="false">C61-D61</f>
        <v>-0.298691588785049</v>
      </c>
      <c r="F61" s="14" t="n">
        <f aca="false">E61^2</f>
        <v>0.0892166652109368</v>
      </c>
    </row>
    <row r="62" customFormat="false" ht="12.8" hidden="false" customHeight="false" outlineLevel="0" collapsed="false">
      <c r="B62" s="12" t="n">
        <v>100</v>
      </c>
      <c r="C62" s="13" t="n">
        <v>5.17</v>
      </c>
      <c r="D62" s="0" t="n">
        <f aca="false">$J$46+$J$45*B62</f>
        <v>6.22838785046729</v>
      </c>
      <c r="E62" s="0" t="n">
        <f aca="false">C62-D62</f>
        <v>-1.05838785046729</v>
      </c>
      <c r="F62" s="14" t="n">
        <f aca="false">E62^2</f>
        <v>1.12018484201677</v>
      </c>
    </row>
    <row r="63" customFormat="false" ht="12.8" hidden="false" customHeight="false" outlineLevel="0" collapsed="false">
      <c r="B63" s="12" t="n">
        <v>125</v>
      </c>
      <c r="C63" s="13" t="n">
        <v>6.89</v>
      </c>
      <c r="D63" s="0" t="n">
        <f aca="false">$J$46+$J$45*B63</f>
        <v>6.58808411214953</v>
      </c>
      <c r="E63" s="0" t="n">
        <f aca="false">C63-D63</f>
        <v>0.301915887850465</v>
      </c>
      <c r="F63" s="14" t="n">
        <f aca="false">E63^2</f>
        <v>0.0911532033365348</v>
      </c>
    </row>
    <row r="64" customFormat="false" ht="12.8" hidden="false" customHeight="false" outlineLevel="0" collapsed="false">
      <c r="B64" s="12" t="n">
        <v>150</v>
      </c>
      <c r="C64" s="13" t="n">
        <v>7.05</v>
      </c>
      <c r="D64" s="0" t="n">
        <f aca="false">$J$46+$J$45*B64</f>
        <v>6.94778037383178</v>
      </c>
      <c r="E64" s="0" t="n">
        <f aca="false">C64-D64</f>
        <v>0.102219626168223</v>
      </c>
      <c r="F64" s="14" t="n">
        <f aca="false">E64^2</f>
        <v>0.0104488519739712</v>
      </c>
    </row>
    <row r="65" customFormat="false" ht="12.8" hidden="false" customHeight="false" outlineLevel="0" collapsed="false">
      <c r="B65" s="12" t="n">
        <v>175</v>
      </c>
      <c r="C65" s="13" t="n">
        <v>7.11</v>
      </c>
      <c r="D65" s="0" t="n">
        <f aca="false">$J$46+$J$45*B65</f>
        <v>7.30747663551402</v>
      </c>
      <c r="E65" s="0" t="n">
        <f aca="false">C65-D65</f>
        <v>-0.197476635514019</v>
      </c>
      <c r="F65" s="14" t="n">
        <f aca="false">E65^2</f>
        <v>0.0389970215739368</v>
      </c>
    </row>
    <row r="66" customFormat="false" ht="12.8" hidden="false" customHeight="false" outlineLevel="0" collapsed="false">
      <c r="B66" s="12" t="n">
        <v>200</v>
      </c>
      <c r="C66" s="13" t="n">
        <v>6.19</v>
      </c>
      <c r="D66" s="0" t="n">
        <f aca="false">$J$46+$J$45*B66</f>
        <v>7.66717289719626</v>
      </c>
      <c r="E66" s="0" t="n">
        <f aca="false">C66-D66</f>
        <v>-1.47717289719626</v>
      </c>
      <c r="F66" s="14" t="n">
        <f aca="false">E66^2</f>
        <v>2.1820397682112</v>
      </c>
    </row>
    <row r="67" customFormat="false" ht="12.8" hidden="false" customHeight="false" outlineLevel="0" collapsed="false">
      <c r="B67" s="12" t="n">
        <v>225</v>
      </c>
      <c r="C67" s="13" t="n">
        <v>8.28</v>
      </c>
      <c r="D67" s="0" t="n">
        <f aca="false">$J$46+$J$45*B67</f>
        <v>8.02686915887851</v>
      </c>
      <c r="E67" s="0" t="n">
        <f aca="false">C67-D67</f>
        <v>0.253130841121495</v>
      </c>
      <c r="F67" s="14" t="n">
        <f aca="false">E67^2</f>
        <v>0.0640752227268754</v>
      </c>
    </row>
    <row r="68" customFormat="false" ht="12.8" hidden="false" customHeight="false" outlineLevel="0" collapsed="false">
      <c r="B68" s="12" t="n">
        <v>250</v>
      </c>
      <c r="C68" s="13" t="n">
        <v>4.84</v>
      </c>
      <c r="D68" s="0" t="n">
        <f aca="false">$J$46+$J$45*B68</f>
        <v>8.38656542056075</v>
      </c>
      <c r="E68" s="0" t="n">
        <f aca="false">C68-D68</f>
        <v>-3.54656542056075</v>
      </c>
      <c r="F68" s="14" t="n">
        <f aca="false">E68^2</f>
        <v>12.5781262823172</v>
      </c>
    </row>
    <row r="69" customFormat="false" ht="12.8" hidden="false" customHeight="false" outlineLevel="0" collapsed="false">
      <c r="B69" s="12" t="n">
        <v>275</v>
      </c>
      <c r="C69" s="13" t="n">
        <v>8.29</v>
      </c>
      <c r="D69" s="0" t="n">
        <f aca="false">$J$46+$J$45*B69</f>
        <v>8.74626168224299</v>
      </c>
      <c r="E69" s="0" t="n">
        <f aca="false">C69-D69</f>
        <v>-0.456261682242992</v>
      </c>
      <c r="F69" s="14" t="n">
        <f aca="false">E69^2</f>
        <v>0.208174722683205</v>
      </c>
    </row>
    <row r="70" customFormat="false" ht="12.8" hidden="false" customHeight="false" outlineLevel="0" collapsed="false">
      <c r="B70" s="12" t="n">
        <v>300</v>
      </c>
      <c r="C70" s="13" t="n">
        <v>8.91</v>
      </c>
      <c r="D70" s="0" t="n">
        <f aca="false">$J$46+$J$45*B70</f>
        <v>9.10595794392523</v>
      </c>
      <c r="E70" s="0" t="n">
        <f aca="false">C70-D70</f>
        <v>-0.195957943925233</v>
      </c>
      <c r="F70" s="14" t="n">
        <f aca="false">E70^2</f>
        <v>0.0383995157874048</v>
      </c>
    </row>
    <row r="71" customFormat="false" ht="12.8" hidden="false" customHeight="false" outlineLevel="0" collapsed="false">
      <c r="B71" s="12" t="n">
        <v>325</v>
      </c>
      <c r="C71" s="13" t="n">
        <v>8.54</v>
      </c>
      <c r="D71" s="0" t="n">
        <f aca="false">$J$46+$J$45*B71</f>
        <v>9.46565420560748</v>
      </c>
      <c r="E71" s="0" t="n">
        <f aca="false">C71-D71</f>
        <v>-0.925654205607478</v>
      </c>
      <c r="F71" s="14" t="n">
        <f aca="false">E71^2</f>
        <v>0.85683570835881</v>
      </c>
    </row>
    <row r="72" customFormat="false" ht="12.8" hidden="false" customHeight="false" outlineLevel="0" collapsed="false">
      <c r="B72" s="12" t="n">
        <v>350</v>
      </c>
      <c r="C72" s="13" t="n">
        <v>11.79</v>
      </c>
      <c r="D72" s="0" t="n">
        <f aca="false">$J$46+$J$45*B72</f>
        <v>9.82535046728972</v>
      </c>
      <c r="E72" s="0" t="n">
        <f aca="false">C72-D72</f>
        <v>1.96464953271028</v>
      </c>
      <c r="F72" s="14" t="n">
        <f aca="false">E72^2</f>
        <v>3.85984778637872</v>
      </c>
    </row>
    <row r="73" customFormat="false" ht="12.8" hidden="false" customHeight="false" outlineLevel="0" collapsed="false">
      <c r="B73" s="12" t="n">
        <v>375</v>
      </c>
      <c r="C73" s="13" t="n">
        <v>12.12</v>
      </c>
      <c r="D73" s="0" t="n">
        <f aca="false">$J$46+$J$45*B73</f>
        <v>10.185046728972</v>
      </c>
      <c r="E73" s="0" t="n">
        <f aca="false">C73-D73</f>
        <v>1.93495327102804</v>
      </c>
      <c r="F73" s="14" t="n">
        <f aca="false">E73^2</f>
        <v>3.7440441610621</v>
      </c>
    </row>
    <row r="74" customFormat="false" ht="12.8" hidden="false" customHeight="false" outlineLevel="0" collapsed="false">
      <c r="B74" s="16" t="n">
        <v>395</v>
      </c>
      <c r="C74" s="17" t="n">
        <v>11.02</v>
      </c>
      <c r="D74" s="17" t="n">
        <f aca="false">$J$46+$J$45*B74</f>
        <v>10.4728037383178</v>
      </c>
      <c r="E74" s="17" t="n">
        <f aca="false">C74-D74</f>
        <v>0.547196261682243</v>
      </c>
      <c r="F74" s="18" t="n">
        <f aca="false">E74^2</f>
        <v>0.299423748799022</v>
      </c>
    </row>
    <row r="76" customFormat="false" ht="12.8" hidden="false" customHeight="false" outlineLevel="0" collapsed="false">
      <c r="B76" s="0" t="s">
        <v>54</v>
      </c>
    </row>
    <row r="77" customFormat="false" ht="12.8" hidden="false" customHeight="false" outlineLevel="0" collapsed="false">
      <c r="C77" s="0" t="s">
        <v>55</v>
      </c>
    </row>
    <row r="78" customFormat="false" ht="12.8" hidden="false" customHeight="false" outlineLevel="0" collapsed="false">
      <c r="C78" s="0" t="s">
        <v>56</v>
      </c>
    </row>
    <row r="80" customFormat="false" ht="12.8" hidden="false" customHeight="false" outlineLevel="0" collapsed="false">
      <c r="B80" s="0" t="s">
        <v>57</v>
      </c>
    </row>
    <row r="81" customFormat="false" ht="12.8" hidden="false" customHeight="false" outlineLevel="0" collapsed="false">
      <c r="C81" s="0" t="s">
        <v>58</v>
      </c>
      <c r="D81" s="0" t="n">
        <f aca="false">SUM(F58:F74)</f>
        <v>30.7676911214953</v>
      </c>
    </row>
    <row r="82" customFormat="false" ht="12.8" hidden="false" customHeight="false" outlineLevel="0" collapsed="false">
      <c r="C82" s="0" t="s">
        <v>13</v>
      </c>
      <c r="D82" s="0" t="n">
        <v>2</v>
      </c>
    </row>
    <row r="83" customFormat="false" ht="12.8" hidden="false" customHeight="false" outlineLevel="0" collapsed="false">
      <c r="C83" s="0" t="s">
        <v>59</v>
      </c>
      <c r="D83" s="0" t="n">
        <f aca="false">SQRT(D81/(J30-D82))</f>
        <v>1.43219391427966</v>
      </c>
    </row>
    <row r="84" customFormat="false" ht="12.8" hidden="false" customHeight="false" outlineLevel="0" collapsed="false">
      <c r="C84" s="0" t="s">
        <v>60</v>
      </c>
      <c r="D84" s="0" t="n">
        <f aca="false">J45/(D83/SQRT(J40))</f>
        <v>5.05329376846727</v>
      </c>
    </row>
    <row r="86" customFormat="false" ht="12.8" hidden="false" customHeight="false" outlineLevel="0" collapsed="false">
      <c r="B86" s="0" t="s">
        <v>61</v>
      </c>
    </row>
    <row r="87" customFormat="false" ht="12.8" hidden="false" customHeight="false" outlineLevel="0" collapsed="false">
      <c r="C87" s="0" t="s">
        <v>62</v>
      </c>
      <c r="D87" s="0" t="n">
        <v>1.341</v>
      </c>
    </row>
    <row r="88" customFormat="false" ht="12.8" hidden="false" customHeight="false" outlineLevel="0" collapsed="false">
      <c r="C88" s="0" t="s">
        <v>63</v>
      </c>
    </row>
    <row r="90" customFormat="false" ht="12.8" hidden="false" customHeight="false" outlineLevel="0" collapsed="false">
      <c r="B90" s="0" t="s">
        <v>64</v>
      </c>
      <c r="C90" s="0" t="s">
        <v>65</v>
      </c>
    </row>
    <row r="92" customFormat="false" ht="12.8" hidden="false" customHeight="false" outlineLevel="0" collapsed="false">
      <c r="A92" s="0" t="s">
        <v>66</v>
      </c>
    </row>
    <row r="93" customFormat="false" ht="12.8" hidden="false" customHeight="false" outlineLevel="0" collapsed="false">
      <c r="C93" s="0" t="s">
        <v>67</v>
      </c>
      <c r="D93" s="0" t="n">
        <f aca="false">J39/SQRT(J40*J41)</f>
        <v>0.793698008032973</v>
      </c>
    </row>
    <row r="94" customFormat="false" ht="12.8" hidden="false" customHeight="false" outlineLevel="0" collapsed="false">
      <c r="B94" s="0" t="s">
        <v>68</v>
      </c>
    </row>
    <row r="95" customFormat="false" ht="12.8" hidden="false" customHeight="false" outlineLevel="0" collapsed="false">
      <c r="B95" s="0" t="s">
        <v>69</v>
      </c>
    </row>
    <row r="97" customFormat="false" ht="12.8" hidden="false" customHeight="false" outlineLevel="0" collapsed="false">
      <c r="A97" s="0" t="s">
        <v>70</v>
      </c>
    </row>
    <row r="98" customFormat="false" ht="12.8" hidden="false" customHeight="false" outlineLevel="0" collapsed="false">
      <c r="C98" s="0" t="s">
        <v>71</v>
      </c>
      <c r="D98" s="0" t="n">
        <f aca="false">1-D81/J41</f>
        <v>0.629956527955506</v>
      </c>
    </row>
    <row r="99" customFormat="false" ht="12.8" hidden="false" customHeight="false" outlineLevel="0" collapsed="false">
      <c r="B99" s="0" t="s">
        <v>72</v>
      </c>
    </row>
    <row r="100" customFormat="false" ht="12.8" hidden="false" customHeight="false" outlineLevel="0" collapsed="false">
      <c r="B100" s="0" t="s">
        <v>73</v>
      </c>
    </row>
    <row r="101" customFormat="false" ht="12.8" hidden="false" customHeight="false" outlineLevel="0" collapsed="false">
      <c r="C101" s="8" t="s">
        <v>74</v>
      </c>
      <c r="D101" s="8"/>
      <c r="E101" s="8"/>
      <c r="F101" s="8"/>
      <c r="G101" s="8"/>
      <c r="H101" s="8"/>
    </row>
  </sheetData>
  <mergeCells count="5">
    <mergeCell ref="I29:J29"/>
    <mergeCell ref="I33:J33"/>
    <mergeCell ref="I38:J38"/>
    <mergeCell ref="I44:J44"/>
    <mergeCell ref="C101:H10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2026-08-02T03:41:48Z</dcterms:modified>
  <cp:revision>2</cp:revision>
  <dc:subject/>
  <dc:title/>
</cp:coreProperties>
</file>